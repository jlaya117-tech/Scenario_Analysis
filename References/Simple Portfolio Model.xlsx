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ya\Downloads\Temp\"/>
    </mc:Choice>
  </mc:AlternateContent>
  <xr:revisionPtr revIDLastSave="0" documentId="13_ncr:1_{729F0B52-E111-4994-9530-5778029ADBF6}" xr6:coauthVersionLast="47" xr6:coauthVersionMax="47" xr10:uidLastSave="{00000000-0000-0000-0000-000000000000}"/>
  <bookViews>
    <workbookView xWindow="-108" yWindow="-108" windowWidth="30936" windowHeight="16776" xr2:uid="{78ED9877-80C6-4688-9764-79F8ED95C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 a="1"/>
  <c r="J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<sst xmlns="http://schemas.openxmlformats.org/spreadsheetml/2006/main" count="37" uniqueCount="17">
  <si>
    <t>Asset Class</t>
  </si>
  <si>
    <t>Cash</t>
  </si>
  <si>
    <t>Australian Equities</t>
  </si>
  <si>
    <t>Global Equities (Developed World) - Unhedged</t>
  </si>
  <si>
    <t>Global Equities (Developed World) - Hedged</t>
  </si>
  <si>
    <t>Australian Government Bonds</t>
  </si>
  <si>
    <t>Global Treasury Bonds - Hedged</t>
  </si>
  <si>
    <t>Portfolio Weights</t>
  </si>
  <si>
    <t>Weights</t>
  </si>
  <si>
    <t>Returns</t>
  </si>
  <si>
    <t>Volatility</t>
  </si>
  <si>
    <t>Correlation Matrix</t>
  </si>
  <si>
    <t>Returns and Volatility</t>
  </si>
  <si>
    <t>Formula for Expected Return and Variance</t>
  </si>
  <si>
    <t>https://edstem.org/au/courses/41412/lessons/119133/slides/817744</t>
  </si>
  <si>
    <t>Expected Return</t>
  </si>
  <si>
    <t>Expected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</si>
</sst>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6" formatCode="#,##0.00_ ;[Red]\(#,##0.0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2" applyNumberFormat="1" applyFont="1"/>
    <xf numFmtId="10" fontId="0" fillId="0" borderId="0" xfId="2" applyNumberFormat="1" applyFont="1"/>
    <xf numFmtId="166" fontId="0" fillId="2" borderId="0" xfId="1" applyNumberFormat="1" applyFont="1" applyFill="1" applyAlignment="1">
      <alignment horizontal="right"/>
    </xf>
    <xf numFmtId="166" fontId="0" fillId="0" borderId="0" xfId="1" applyNumberFormat="1" applyFont="1" applyAlignment="1">
      <alignment horizontal="right"/>
    </xf>
    <xf numFmtId="0" fontId="3" fillId="0" borderId="0" xfId="0" applyFont="1" applyAlignment="1">
      <alignment textRotation="45"/>
    </xf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3"/>
    <xf numFmtId="10" fontId="0" fillId="0" borderId="0" xfId="0" applyNumberFormat="1"/>
    <xf numFmtId="10" fontId="0" fillId="3" borderId="1" xfId="2" applyNumberFormat="1" applyFont="1" applyFill="1" applyBorder="1"/>
    <xf numFmtId="0" fontId="0" fillId="3" borderId="1" xfId="0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26</xdr:col>
      <xdr:colOff>457874</xdr:colOff>
      <xdr:row>15</xdr:row>
      <xdr:rowOff>160367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93078-A8C6-C7E6-31D2-2F41F69AA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2120" y="365760"/>
          <a:ext cx="7773074" cy="4008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dstem.org/au/courses/41412/lessons/119133/slides/817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B51D-D904-4091-AC2D-FDB11BC2BA70}">
  <dimension ref="A1:O20"/>
  <sheetViews>
    <sheetView tabSelected="1" workbookViewId="0">
      <selection activeCell="I17" sqref="I17"/>
    </sheetView>
  </sheetViews>
  <sheetFormatPr defaultRowHeight="14.4" x14ac:dyDescent="0.3"/>
  <cols>
    <col min="1" max="1" width="38.109375" bestFit="1" customWidth="1"/>
    <col min="2" max="7" width="8.88671875" customWidth="1"/>
    <col min="9" max="9" width="38.109375" bestFit="1" customWidth="1"/>
    <col min="11" max="11" width="8.88671875" customWidth="1"/>
  </cols>
  <sheetData>
    <row r="1" spans="1:15" x14ac:dyDescent="0.3">
      <c r="A1" s="6" t="s">
        <v>12</v>
      </c>
      <c r="I1" s="6" t="s">
        <v>7</v>
      </c>
      <c r="O1" t="s">
        <v>13</v>
      </c>
    </row>
    <row r="2" spans="1:15" x14ac:dyDescent="0.3">
      <c r="O2" s="8" t="s">
        <v>14</v>
      </c>
    </row>
    <row r="3" spans="1:15" x14ac:dyDescent="0.3">
      <c r="A3" s="6" t="s">
        <v>0</v>
      </c>
      <c r="B3" s="7" t="s">
        <v>9</v>
      </c>
      <c r="C3" s="7" t="s">
        <v>10</v>
      </c>
      <c r="I3" s="6" t="s">
        <v>0</v>
      </c>
      <c r="J3" s="7" t="s">
        <v>8</v>
      </c>
    </row>
    <row r="4" spans="1:15" x14ac:dyDescent="0.3">
      <c r="A4" t="s">
        <v>2</v>
      </c>
      <c r="B4" s="2">
        <v>7.3516781267455242E-2</v>
      </c>
      <c r="C4" s="2">
        <v>0.1535787290193211</v>
      </c>
      <c r="I4" t="s">
        <v>2</v>
      </c>
      <c r="J4" s="1">
        <v>0.3</v>
      </c>
      <c r="K4" s="2"/>
    </row>
    <row r="5" spans="1:15" x14ac:dyDescent="0.3">
      <c r="A5" t="s">
        <v>3</v>
      </c>
      <c r="B5" s="2">
        <v>6.5531994237576024E-2</v>
      </c>
      <c r="C5" s="2">
        <v>0.14393036262553441</v>
      </c>
      <c r="I5" t="s">
        <v>3</v>
      </c>
      <c r="J5" s="1">
        <v>0.21000000000000002</v>
      </c>
      <c r="K5" s="2"/>
    </row>
    <row r="6" spans="1:15" x14ac:dyDescent="0.3">
      <c r="A6" t="s">
        <v>4</v>
      </c>
      <c r="B6" s="2">
        <v>6.4863723566813386E-2</v>
      </c>
      <c r="C6" s="2">
        <v>0.1583596025732435</v>
      </c>
      <c r="I6" t="s">
        <v>4</v>
      </c>
      <c r="J6" s="1">
        <v>0.19</v>
      </c>
      <c r="K6" s="2"/>
    </row>
    <row r="7" spans="1:15" x14ac:dyDescent="0.3">
      <c r="A7" t="s">
        <v>5</v>
      </c>
      <c r="B7" s="2">
        <v>4.2614663370993247E-2</v>
      </c>
      <c r="C7" s="2">
        <v>4.2939509654822218E-2</v>
      </c>
      <c r="I7" t="s">
        <v>5</v>
      </c>
      <c r="J7" s="1">
        <v>0.125</v>
      </c>
      <c r="K7" s="2"/>
    </row>
    <row r="8" spans="1:15" x14ac:dyDescent="0.3">
      <c r="A8" t="s">
        <v>6</v>
      </c>
      <c r="B8" s="2">
        <v>4.5459342349806482E-2</v>
      </c>
      <c r="C8" s="2">
        <v>4.2180197994448262E-2</v>
      </c>
      <c r="I8" t="s">
        <v>6</v>
      </c>
      <c r="J8" s="1">
        <v>0.125</v>
      </c>
      <c r="K8" s="2"/>
    </row>
    <row r="9" spans="1:15" x14ac:dyDescent="0.3">
      <c r="A9" t="s">
        <v>1</v>
      </c>
      <c r="B9" s="2">
        <v>3.8421247837531217E-2</v>
      </c>
      <c r="C9" s="2">
        <v>1.754830916915685E-2</v>
      </c>
      <c r="I9" t="s">
        <v>1</v>
      </c>
      <c r="J9" s="1">
        <v>0.05</v>
      </c>
      <c r="K9" s="2"/>
    </row>
    <row r="10" spans="1:15" x14ac:dyDescent="0.3">
      <c r="J10" s="1">
        <f>SUM(J4:J9)</f>
        <v>1</v>
      </c>
      <c r="K10" s="9"/>
    </row>
    <row r="12" spans="1:15" x14ac:dyDescent="0.3">
      <c r="A12" s="6" t="s">
        <v>11</v>
      </c>
      <c r="I12" s="6" t="s">
        <v>15</v>
      </c>
      <c r="J12" s="10" cm="1">
        <f t="array" ref="J12">SUMPRODUCT(B4:B9, _xlfn.XLOOKUP(A4:A9, I4:I9, J4:J9))</f>
        <v>6.1071173754798605E-2</v>
      </c>
    </row>
    <row r="13" spans="1:15" x14ac:dyDescent="0.3">
      <c r="I13" s="6" t="s">
        <v>16</v>
      </c>
      <c r="J13" s="11"/>
    </row>
    <row r="14" spans="1:15" ht="130.19999999999999" x14ac:dyDescent="0.3">
      <c r="A14" s="6" t="s">
        <v>0</v>
      </c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1</v>
      </c>
    </row>
    <row r="15" spans="1:15" x14ac:dyDescent="0.3">
      <c r="A15" t="s">
        <v>2</v>
      </c>
      <c r="B15" s="3">
        <v>1</v>
      </c>
      <c r="C15" s="4">
        <v>0.53477428116850767</v>
      </c>
      <c r="D15" s="4">
        <v>0.77957417439569665</v>
      </c>
      <c r="E15" s="4">
        <v>2.057429493367504E-2</v>
      </c>
      <c r="F15" s="4">
        <v>6.7194520069264907E-2</v>
      </c>
      <c r="G15" s="4">
        <v>3.1729991894188472E-2</v>
      </c>
    </row>
    <row r="16" spans="1:15" x14ac:dyDescent="0.3">
      <c r="A16" t="s">
        <v>3</v>
      </c>
      <c r="B16" s="4">
        <v>0.53477428116850756</v>
      </c>
      <c r="C16" s="3">
        <v>1</v>
      </c>
      <c r="D16" s="4">
        <v>0.66056758432234219</v>
      </c>
      <c r="E16" s="4">
        <v>9.2844962625703714E-2</v>
      </c>
      <c r="F16" s="4">
        <v>5.1932359070597624E-3</v>
      </c>
      <c r="G16" s="4">
        <v>2.1878821709088041E-2</v>
      </c>
    </row>
    <row r="17" spans="1:7" x14ac:dyDescent="0.3">
      <c r="A17" t="s">
        <v>4</v>
      </c>
      <c r="B17" s="4">
        <v>0.77957417439569665</v>
      </c>
      <c r="C17" s="4">
        <v>0.66056758432234219</v>
      </c>
      <c r="D17" s="3">
        <v>1</v>
      </c>
      <c r="E17" s="4">
        <v>-4.7236410210640727E-2</v>
      </c>
      <c r="F17" s="4">
        <v>1.7739321347426281E-2</v>
      </c>
      <c r="G17" s="4">
        <v>-4.3395986999765932E-3</v>
      </c>
    </row>
    <row r="18" spans="1:7" x14ac:dyDescent="0.3">
      <c r="A18" t="s">
        <v>5</v>
      </c>
      <c r="B18" s="4">
        <v>2.0574294933675061E-2</v>
      </c>
      <c r="C18" s="4">
        <v>9.2844962625703673E-2</v>
      </c>
      <c r="D18" s="4">
        <v>-4.7236410210640727E-2</v>
      </c>
      <c r="E18" s="3">
        <v>1</v>
      </c>
      <c r="F18" s="4">
        <v>0.76686362852933843</v>
      </c>
      <c r="G18" s="4">
        <v>0.48839812538776578</v>
      </c>
    </row>
    <row r="19" spans="1:7" x14ac:dyDescent="0.3">
      <c r="A19" t="s">
        <v>6</v>
      </c>
      <c r="B19" s="4">
        <v>6.7194520069264907E-2</v>
      </c>
      <c r="C19" s="4">
        <v>5.1932359070597459E-3</v>
      </c>
      <c r="D19" s="4">
        <v>1.7739321347426281E-2</v>
      </c>
      <c r="E19" s="4">
        <v>0.76686362852933843</v>
      </c>
      <c r="F19" s="3">
        <v>1</v>
      </c>
      <c r="G19" s="4">
        <v>0.48935992304180898</v>
      </c>
    </row>
    <row r="20" spans="1:7" x14ac:dyDescent="0.3">
      <c r="A20" t="s">
        <v>1</v>
      </c>
      <c r="B20" s="4">
        <v>3.1729991894188479E-2</v>
      </c>
      <c r="C20" s="4">
        <v>2.1878821709088021E-2</v>
      </c>
      <c r="D20" s="4">
        <v>-4.3395986999766011E-3</v>
      </c>
      <c r="E20" s="4">
        <v>0.48839812538776578</v>
      </c>
      <c r="F20" s="4">
        <v>0.48935992304180898</v>
      </c>
      <c r="G20" s="3">
        <v>1</v>
      </c>
    </row>
  </sheetData>
  <hyperlinks>
    <hyperlink ref="O2" r:id="rId1" xr:uid="{A1D53DB6-2D7E-40AA-BB9C-339A260F4846}"/>
  </hyperlinks>
  <pageMargins left="0.7" right="0.7" top="0.75" bottom="0.75" header="0.3" footer="0.3"/>
  <headerFooter>
    <oddFooter>&amp;C_x000D_&amp;1#&amp;"Aptos"&amp;10&amp;K000000 [SEC=GENERAL BUSINESS]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2026-10-30T03:51:00Z</dcterms:created>
  <dcterms:modified xsi:type="dcterms:W3CDTF">2026-10-30T05:37:29Z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cccd2b48-2e62-4bd7-88d7-1cc007ed5368_Enabled">
    <vt:lpwstr>true</vt:lpwstr>
  </property>
  <property fmtid="{D5CDD505-2E9C-101B-9397-08002B2CF9AE}" pid="4" name="MSIP_Label_cccd2b48-2e62-4bd7-88d7-1cc007ed5368_SetDate">
    <vt:lpwstr>2026-10-30T03:51:20Z</vt:lpwstr>
  </property>
  <property fmtid="{D5CDD505-2E9C-101B-9397-08002B2CF9AE}" pid="5" name="MSIP_Label_cccd2b48-2e62-4bd7-88d7-1cc007ed5368_Method">
    <vt:lpwstr>Privileged</vt:lpwstr>
  </property>
  <property fmtid="{D5CDD505-2E9C-101B-9397-08002B2CF9AE}" pid="6" name="MSIP_Label_cccd2b48-2e62-4bd7-88d7-1cc007ed5368_Name">
    <vt:lpwstr>Internal</vt:lpwstr>
  </property>
  <property fmtid="{D5CDD505-2E9C-101B-9397-08002B2CF9AE}" pid="7" name="MSIP_Label_cccd2b48-2e62-4bd7-88d7-1cc007ed5368_SiteId">
    <vt:lpwstr>bc48651e-90e7-4a7b-8a4e-ba815a02b571</vt:lpwstr>
  </property>
  <property fmtid="{D5CDD505-2E9C-101B-9397-08002B2CF9AE}" pid="8" name="MSIP_Label_cccd2b48-2e62-4bd7-88d7-1cc007ed5368_ActionId">
    <vt:lpwstr>285e6753-f957-4519-a77d-d9997e3dd14d</vt:lpwstr>
  </property>
  <property fmtid="{D5CDD505-2E9C-101B-9397-08002B2CF9AE}" pid="9" name="MSIP_Label_cccd2b48-2e62-4bd7-88d7-1cc007ed5368_ContentBits">
    <vt:lpwstr>2</vt:lpwstr>
  </property>
  <property fmtid="{D5CDD505-2E9C-101B-9397-08002B2CF9AE}" pid="10" name="MSIP_Label_cccd2b48-2e62-4bd7-88d7-1cc007ed5368_Tag">
    <vt:lpwstr>10, 0, 1, 1</vt:lpwstr>
  </property>
</Properties>
</file>